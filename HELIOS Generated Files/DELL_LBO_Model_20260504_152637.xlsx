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se Case" sheetId="2" state="visible" r:id="rId2"/>
    <sheet xmlns:r="http://schemas.openxmlformats.org/officeDocument/2006/relationships" name="Bull Case" sheetId="3" state="visible" r:id="rId3"/>
    <sheet xmlns:r="http://schemas.openxmlformats.org/officeDocument/2006/relationships" name="Bear Case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Inputs 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0.00&quot;x&quot;"/>
    <numFmt numFmtId="166" formatCode="0.0"/>
  </numFmts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4748B"/>
      <sz val="10"/>
    </font>
    <font>
      <b val="1"/>
      <color rgb="00FFFFFF"/>
    </font>
    <font>
      <b val="1"/>
      <color rgb="001D4ED8"/>
    </font>
    <font>
      <i val="1"/>
      <color rgb="00000000"/>
    </font>
    <font>
      <b val="1"/>
    </font>
    <font>
      <b val="1"/>
      <color rgb="000A2540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0A2540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EFF6FF"/>
      </patternFill>
    </fill>
    <fill>
      <patternFill patternType="solid">
        <fgColor rgb="00FECAC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3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3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3" fontId="0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/>
    </xf>
    <xf numFmtId="0" fontId="6" fillId="0" borderId="1" pivotButton="0" quotePrefix="0" xfId="0"/>
    <xf numFmtId="3" fontId="4" fillId="6" borderId="1" pivotButton="0" quotePrefix="0" xfId="0"/>
    <xf numFmtId="2" fontId="4" fillId="6" borderId="1" pivotButton="0" quotePrefix="0" xfId="0"/>
    <xf numFmtId="166" fontId="4" fillId="6" borderId="1" pivotButton="0" quotePrefix="0" xfId="0"/>
    <xf numFmtId="1" fontId="4" fillId="6" borderId="1" pivotButton="0" quotePrefix="0" xfId="0"/>
    <xf numFmtId="3" fontId="6" fillId="0" borderId="1" pivotButton="0" quotePrefix="0" xfId="0"/>
    <xf numFmtId="0" fontId="3" fillId="2" borderId="1" pivotButton="0" quotePrefix="0" xfId="0"/>
    <xf numFmtId="3" fontId="0" fillId="0" borderId="1" pivotButton="0" quotePrefix="0" xfId="0"/>
    <xf numFmtId="2" fontId="0" fillId="0" borderId="1" pivotButton="0" quotePrefix="0" xfId="0"/>
    <xf numFmtId="3" fontId="7" fillId="3" borderId="1" pivotButton="0" quotePrefix="0" xfId="0"/>
    <xf numFmtId="165" fontId="7" fillId="3" borderId="1" pivotButton="0" quotePrefix="0" xfId="0"/>
    <xf numFmtId="164" fontId="7" fillId="3" borderId="1" pivotButton="0" quotePrefix="0" xfId="0"/>
    <xf numFmtId="3" fontId="7" fillId="4" borderId="1" pivotButton="0" quotePrefix="0" xfId="0"/>
    <xf numFmtId="165" fontId="7" fillId="4" borderId="1" pivotButton="0" quotePrefix="0" xfId="0"/>
    <xf numFmtId="164" fontId="7" fillId="4" borderId="1" pivotButton="0" quotePrefix="0" xfId="0"/>
    <xf numFmtId="3" fontId="7" fillId="5" borderId="1" pivotButton="0" quotePrefix="0" xfId="0"/>
    <xf numFmtId="165" fontId="7" fillId="5" borderId="1" pivotButton="0" quotePrefix="0" xfId="0"/>
    <xf numFmtId="164" fontId="7" fillId="5" borderId="1" pivotButton="0" quotePrefix="0" xfId="0"/>
    <xf numFmtId="0" fontId="8" fillId="2" borderId="0" applyAlignment="1" pivotButton="0" quotePrefix="0" xfId="0">
      <alignment horizontal="center" vertical="center"/>
    </xf>
    <xf numFmtId="0" fontId="0" fillId="2" borderId="0" pivotButton="0" quotePrefix="0" xfId="0"/>
    <xf numFmtId="164" fontId="0" fillId="7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" t="inlineStr">
        <is>
          <t>DELL  -  Dell Technologies Inc.: LBO Returns Summary</t>
        </is>
      </c>
    </row>
    <row r="2">
      <c r="A2" s="2" t="inlineStr">
        <is>
          <t>Live formulas reference each scenario sheet — edit inputs there to flex.</t>
        </is>
      </c>
    </row>
    <row r="4">
      <c r="A4" s="3" t="inlineStr">
        <is>
          <t>Scenario</t>
        </is>
      </c>
      <c r="B4" s="3" t="inlineStr">
        <is>
          <t>IRR (%)</t>
        </is>
      </c>
      <c r="C4" s="3" t="inlineStr">
        <is>
          <t>MOIC</t>
        </is>
      </c>
      <c r="D4" s="3" t="inlineStr">
        <is>
          <t>Exit Equity ($M)</t>
        </is>
      </c>
      <c r="E4" s="3" t="inlineStr">
        <is>
          <t>Exit EV ($M)</t>
        </is>
      </c>
    </row>
    <row r="5">
      <c r="A5" s="4" t="inlineStr">
        <is>
          <t>Base</t>
        </is>
      </c>
      <c r="B5" s="5">
        <f>'Base Case'!B44</f>
        <v/>
      </c>
      <c r="C5" s="6">
        <f>'Base Case'!B43</f>
        <v/>
      </c>
      <c r="D5" s="7">
        <f>'Base Case'!B42</f>
        <v/>
      </c>
      <c r="E5" s="7">
        <f>'Base Case'!B40</f>
        <v/>
      </c>
    </row>
    <row r="6">
      <c r="A6" s="8" t="inlineStr">
        <is>
          <t>Bull</t>
        </is>
      </c>
      <c r="B6" s="9">
        <f>'Bull Case'!B44</f>
        <v/>
      </c>
      <c r="C6" s="10">
        <f>'Bull Case'!B43</f>
        <v/>
      </c>
      <c r="D6" s="11">
        <f>'Bull Case'!B42</f>
        <v/>
      </c>
      <c r="E6" s="11">
        <f>'Bull Case'!B40</f>
        <v/>
      </c>
    </row>
    <row r="7">
      <c r="A7" s="12" t="inlineStr">
        <is>
          <t>Bear</t>
        </is>
      </c>
      <c r="B7" s="13">
        <f>'Bear Case'!B44</f>
        <v/>
      </c>
      <c r="C7" s="14">
        <f>'Bear Case'!B43</f>
        <v/>
      </c>
      <c r="D7" s="15">
        <f>'Bear Case'!B42</f>
        <v/>
      </c>
      <c r="E7" s="15">
        <f>'Bear Case'!B40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BASE CASE  -  LIVE LBO MODEL</t>
        </is>
      </c>
    </row>
    <row r="3">
      <c r="A3" s="16" t="inlineStr">
        <is>
          <t>BLUE = hardcoded input (editable)</t>
        </is>
      </c>
    </row>
    <row r="4">
      <c r="A4" s="17" t="inlineStr">
        <is>
          <t>BLACK = formula (derived from inputs)</t>
        </is>
      </c>
    </row>
    <row r="6">
      <c r="A6" s="18" t="inlineStr">
        <is>
          <t>INPUTS  -  EDIT BLUE CELLS TO FLEX ASSUMPTIONS</t>
        </is>
      </c>
    </row>
    <row r="7">
      <c r="A7" s="19" t="inlineStr">
        <is>
          <t>Starting Revenue ($M)</t>
        </is>
      </c>
      <c r="B7" s="20" t="n">
        <v>88425</v>
      </c>
    </row>
    <row r="8">
      <c r="A8" s="19" t="inlineStr">
        <is>
          <t>Starting EBITDA Margin (%)</t>
        </is>
      </c>
      <c r="B8" s="21" t="n">
        <v>9.9</v>
      </c>
    </row>
    <row r="9">
      <c r="A9" s="19" t="inlineStr">
        <is>
          <t>Cash &amp; Equivalents ($M)</t>
        </is>
      </c>
      <c r="B9" s="20" t="n">
        <v>3633</v>
      </c>
    </row>
    <row r="10">
      <c r="A10" s="19" t="inlineStr">
        <is>
          <t>Existing Debt ($M)</t>
        </is>
      </c>
      <c r="B10" s="20" t="n">
        <v>19363</v>
      </c>
    </row>
    <row r="11">
      <c r="A11" s="19" t="inlineStr">
        <is>
          <t>Market Cap ($M)</t>
        </is>
      </c>
      <c r="B11" s="20" t="n">
        <v>137482</v>
      </c>
    </row>
    <row r="12">
      <c r="A12" s="19" t="inlineStr">
        <is>
          <t>Purchase Premium (%)</t>
        </is>
      </c>
      <c r="B12" s="22" t="n">
        <v>32.4</v>
      </c>
    </row>
    <row r="13">
      <c r="A13" s="19" t="inlineStr">
        <is>
          <t>Leverage at Close (%)</t>
        </is>
      </c>
      <c r="B13" s="22" t="n">
        <v>55</v>
      </c>
    </row>
    <row r="14">
      <c r="A14" s="19" t="inlineStr">
        <is>
          <t>Revenue Growth (%)</t>
        </is>
      </c>
      <c r="B14" s="21" t="n">
        <v>4</v>
      </c>
    </row>
    <row r="15">
      <c r="A15" s="19" t="inlineStr">
        <is>
          <t>Y5 EBITDA Margin (%)</t>
        </is>
      </c>
      <c r="B15" s="21" t="n">
        <v>10.85</v>
      </c>
    </row>
    <row r="16">
      <c r="A16" s="19" t="inlineStr">
        <is>
          <t>Exit Multiple (x)</t>
        </is>
      </c>
      <c r="B16" s="22" t="n">
        <v>12</v>
      </c>
    </row>
    <row r="17">
      <c r="A17" s="19" t="inlineStr">
        <is>
          <t>Interest Rate on Debt (%)</t>
        </is>
      </c>
      <c r="B17" s="22" t="n">
        <v>7</v>
      </c>
    </row>
    <row r="18">
      <c r="A18" s="19" t="inlineStr">
        <is>
          <t>Capex (% of Revenue)</t>
        </is>
      </c>
      <c r="B18" s="22" t="n">
        <v>3</v>
      </c>
    </row>
    <row r="19">
      <c r="A19" s="19" t="inlineStr">
        <is>
          <t>Tax Rate (%)</t>
        </is>
      </c>
      <c r="B19" s="22" t="n">
        <v>25</v>
      </c>
    </row>
    <row r="20">
      <c r="A20" s="19" t="inlineStr">
        <is>
          <t>Hold Period (years)</t>
        </is>
      </c>
      <c r="B20" s="23" t="n">
        <v>5</v>
      </c>
    </row>
    <row r="22">
      <c r="A22" s="18" t="inlineStr">
        <is>
          <t>DERIVED INPUTS (formulas)</t>
        </is>
      </c>
    </row>
    <row r="23">
      <c r="A23" s="19" t="inlineStr">
        <is>
          <t>Purchase Price ($M)</t>
        </is>
      </c>
      <c r="B23" s="24">
        <f>B11*(1+B12/100)</f>
        <v/>
      </c>
    </row>
    <row r="24">
      <c r="A24" s="19" t="inlineStr">
        <is>
          <t>Debt at Close ($M)</t>
        </is>
      </c>
      <c r="B24" s="24">
        <f>B23*B13/100</f>
        <v/>
      </c>
    </row>
    <row r="25">
      <c r="A25" s="19" t="inlineStr">
        <is>
          <t>Sponsor Equity at Close ($M)</t>
        </is>
      </c>
      <c r="B25" s="24">
        <f>B23-B24</f>
        <v/>
      </c>
    </row>
    <row r="27">
      <c r="A27" s="18" t="inlineStr">
        <is>
          <t>5-YEAR PROJECTIONS  -  ALL FORMULAS</t>
        </is>
      </c>
    </row>
    <row r="28">
      <c r="A28" s="25" t="inlineStr">
        <is>
          <t>Metric ($M)</t>
        </is>
      </c>
      <c r="B28" s="3" t="inlineStr">
        <is>
          <t>Year 1</t>
        </is>
      </c>
      <c r="C28" s="3" t="inlineStr">
        <is>
          <t>Year 2</t>
        </is>
      </c>
      <c r="D28" s="3" t="inlineStr">
        <is>
          <t>Year 3</t>
        </is>
      </c>
      <c r="E28" s="3" t="inlineStr">
        <is>
          <t>Year 4</t>
        </is>
      </c>
      <c r="F28" s="3" t="inlineStr">
        <is>
          <t>Year 5</t>
        </is>
      </c>
    </row>
    <row r="29">
      <c r="A29" s="19" t="inlineStr">
        <is>
          <t>Revenue</t>
        </is>
      </c>
      <c r="B29" s="26">
        <f>$B$7*(1+$B$14/100)</f>
        <v/>
      </c>
      <c r="C29" s="26">
        <f>B29*(1+$B$14/100)</f>
        <v/>
      </c>
      <c r="D29" s="26">
        <f>C29*(1+$B$14/100)</f>
        <v/>
      </c>
      <c r="E29" s="26">
        <f>D29*(1+$B$14/100)</f>
        <v/>
      </c>
      <c r="F29" s="26">
        <f>E29*(1+$B$14/100)</f>
        <v/>
      </c>
    </row>
    <row r="30">
      <c r="A30" s="19" t="inlineStr">
        <is>
          <t>EBITDA Margin (%)</t>
        </is>
      </c>
      <c r="B30" s="27">
        <f>$B$8+($B$15-$B$8)*1/5</f>
        <v/>
      </c>
      <c r="C30" s="27">
        <f>$B$8+($B$15-$B$8)*2/5</f>
        <v/>
      </c>
      <c r="D30" s="27">
        <f>$B$8+($B$15-$B$8)*3/5</f>
        <v/>
      </c>
      <c r="E30" s="27">
        <f>$B$8+($B$15-$B$8)*4/5</f>
        <v/>
      </c>
      <c r="F30" s="27">
        <f>$B$8+($B$15-$B$8)*5/5</f>
        <v/>
      </c>
    </row>
    <row r="31">
      <c r="A31" s="19" t="inlineStr">
        <is>
          <t>EBITDA</t>
        </is>
      </c>
      <c r="B31" s="26">
        <f>B29*B30/100</f>
        <v/>
      </c>
      <c r="C31" s="26">
        <f>C29*C30/100</f>
        <v/>
      </c>
      <c r="D31" s="26">
        <f>D29*D30/100</f>
        <v/>
      </c>
      <c r="E31" s="26">
        <f>E29*E30/100</f>
        <v/>
      </c>
      <c r="F31" s="26">
        <f>F29*F30/100</f>
        <v/>
      </c>
    </row>
    <row r="32">
      <c r="A32" s="19" t="inlineStr">
        <is>
          <t>Interest Expense</t>
        </is>
      </c>
      <c r="B32" s="26">
        <f>$B$24*$B$17/100</f>
        <v/>
      </c>
      <c r="C32" s="26">
        <f>B36*$B$17/100</f>
        <v/>
      </c>
      <c r="D32" s="26">
        <f>C36*$B$17/100</f>
        <v/>
      </c>
      <c r="E32" s="26">
        <f>D36*$B$17/100</f>
        <v/>
      </c>
      <c r="F32" s="26">
        <f>E36*$B$17/100</f>
        <v/>
      </c>
    </row>
    <row r="33">
      <c r="A33" s="19" t="inlineStr">
        <is>
          <t>Capex</t>
        </is>
      </c>
      <c r="B33" s="26">
        <f>B29*$B$18/100</f>
        <v/>
      </c>
      <c r="C33" s="26">
        <f>C29*$B$18/100</f>
        <v/>
      </c>
      <c r="D33" s="26">
        <f>D29*$B$18/100</f>
        <v/>
      </c>
      <c r="E33" s="26">
        <f>E29*$B$18/100</f>
        <v/>
      </c>
      <c r="F33" s="26">
        <f>F29*$B$18/100</f>
        <v/>
      </c>
    </row>
    <row r="34">
      <c r="A34" s="19" t="inlineStr">
        <is>
          <t>Taxes</t>
        </is>
      </c>
      <c r="B34" s="26">
        <f>MAX(0,(B31-B32)*$B$19/100)</f>
        <v/>
      </c>
      <c r="C34" s="26">
        <f>MAX(0,(C31-C32)*$B$19/100)</f>
        <v/>
      </c>
      <c r="D34" s="26">
        <f>MAX(0,(D31-D32)*$B$19/100)</f>
        <v/>
      </c>
      <c r="E34" s="26">
        <f>MAX(0,(E31-E32)*$B$19/100)</f>
        <v/>
      </c>
      <c r="F34" s="26">
        <f>MAX(0,(F31-F32)*$B$19/100)</f>
        <v/>
      </c>
    </row>
    <row r="35">
      <c r="A35" s="19" t="inlineStr">
        <is>
          <t>Free Cash Flow</t>
        </is>
      </c>
      <c r="B35" s="26">
        <f>B31-B32-B33-B34</f>
        <v/>
      </c>
      <c r="C35" s="26">
        <f>C31-C32-C33-C34</f>
        <v/>
      </c>
      <c r="D35" s="26">
        <f>D31-D32-D33-D34</f>
        <v/>
      </c>
      <c r="E35" s="26">
        <f>E31-E32-E33-E34</f>
        <v/>
      </c>
      <c r="F35" s="26">
        <f>F31-F32-F33-F34</f>
        <v/>
      </c>
    </row>
    <row r="36">
      <c r="A36" s="19" t="inlineStr">
        <is>
          <t>Debt Balance (EoY)</t>
        </is>
      </c>
      <c r="B36" s="26">
        <f>MAX(0,$B$24-MAX(0,B35))</f>
        <v/>
      </c>
      <c r="C36" s="26">
        <f>MAX(0,B36-MAX(0,C35))</f>
        <v/>
      </c>
      <c r="D36" s="26">
        <f>MAX(0,C36-MAX(0,D35))</f>
        <v/>
      </c>
      <c r="E36" s="26">
        <f>MAX(0,D36-MAX(0,E35))</f>
        <v/>
      </c>
      <c r="F36" s="26">
        <f>MAX(0,E36-MAX(0,F35))</f>
        <v/>
      </c>
    </row>
    <row r="38">
      <c r="A38" s="18" t="inlineStr">
        <is>
          <t>EXIT &amp; RETURNS (formulas)</t>
        </is>
      </c>
    </row>
    <row r="39">
      <c r="A39" s="19" t="inlineStr">
        <is>
          <t>Exit EBITDA ($M)</t>
        </is>
      </c>
      <c r="B39" s="28">
        <f>F31</f>
        <v/>
      </c>
    </row>
    <row r="40">
      <c r="A40" s="19" t="inlineStr">
        <is>
          <t>Exit EV ($M)</t>
        </is>
      </c>
      <c r="B40" s="28">
        <f>B39*$B$16</f>
        <v/>
      </c>
    </row>
    <row r="41">
      <c r="A41" s="19" t="inlineStr">
        <is>
          <t>Net Debt at Exit ($M)</t>
        </is>
      </c>
      <c r="B41" s="28">
        <f>F36</f>
        <v/>
      </c>
    </row>
    <row r="42">
      <c r="A42" s="19" t="inlineStr">
        <is>
          <t>Exit Equity Value ($M)</t>
        </is>
      </c>
      <c r="B42" s="28">
        <f>MAX(0,B40-B41)</f>
        <v/>
      </c>
    </row>
    <row r="43">
      <c r="A43" s="19" t="inlineStr">
        <is>
          <t>MOIC</t>
        </is>
      </c>
      <c r="B43" s="29">
        <f>IFERROR(B42/$B$25,0)</f>
        <v/>
      </c>
    </row>
    <row r="44">
      <c r="A44" s="19" t="inlineStr">
        <is>
          <t>IRR (%)</t>
        </is>
      </c>
      <c r="B44" s="30">
        <f>IFERROR(((B42/$B$25)^(1/$B$20)-1)*100,0)</f>
        <v/>
      </c>
    </row>
    <row r="46">
      <c r="A46" s="2" t="inlineStr">
        <is>
          <t>Tip: Edit any BLUE input cell. Projections, debt paydown, and returns recalculate live.</t>
        </is>
      </c>
    </row>
  </sheetData>
  <mergeCells count="6">
    <mergeCell ref="A38:B38"/>
    <mergeCell ref="A46:F46"/>
    <mergeCell ref="A27:F27"/>
    <mergeCell ref="A1:H1"/>
    <mergeCell ref="A6:B6"/>
    <mergeCell ref="A22:B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BULL CASE  -  LIVE LBO MODEL</t>
        </is>
      </c>
    </row>
    <row r="3">
      <c r="A3" s="16" t="inlineStr">
        <is>
          <t>BLUE = hardcoded input (editable)</t>
        </is>
      </c>
    </row>
    <row r="4">
      <c r="A4" s="17" t="inlineStr">
        <is>
          <t>BLACK = formula (derived from inputs)</t>
        </is>
      </c>
    </row>
    <row r="6">
      <c r="A6" s="18" t="inlineStr">
        <is>
          <t>INPUTS  -  EDIT BLUE CELLS TO FLEX ASSUMPTIONS</t>
        </is>
      </c>
    </row>
    <row r="7">
      <c r="A7" s="19" t="inlineStr">
        <is>
          <t>Starting Revenue ($M)</t>
        </is>
      </c>
      <c r="B7" s="20" t="n">
        <v>88425</v>
      </c>
    </row>
    <row r="8">
      <c r="A8" s="19" t="inlineStr">
        <is>
          <t>Starting EBITDA Margin (%)</t>
        </is>
      </c>
      <c r="B8" s="21" t="n">
        <v>9.9</v>
      </c>
    </row>
    <row r="9">
      <c r="A9" s="19" t="inlineStr">
        <is>
          <t>Cash &amp; Equivalents ($M)</t>
        </is>
      </c>
      <c r="B9" s="20" t="n">
        <v>3633</v>
      </c>
    </row>
    <row r="10">
      <c r="A10" s="19" t="inlineStr">
        <is>
          <t>Existing Debt ($M)</t>
        </is>
      </c>
      <c r="B10" s="20" t="n">
        <v>19363</v>
      </c>
    </row>
    <row r="11">
      <c r="A11" s="19" t="inlineStr">
        <is>
          <t>Market Cap ($M)</t>
        </is>
      </c>
      <c r="B11" s="20" t="n">
        <v>137482</v>
      </c>
    </row>
    <row r="12">
      <c r="A12" s="19" t="inlineStr">
        <is>
          <t>Purchase Premium (%)</t>
        </is>
      </c>
      <c r="B12" s="22" t="n">
        <v>27.4</v>
      </c>
    </row>
    <row r="13">
      <c r="A13" s="19" t="inlineStr">
        <is>
          <t>Leverage at Close (%)</t>
        </is>
      </c>
      <c r="B13" s="22" t="n">
        <v>55</v>
      </c>
    </row>
    <row r="14">
      <c r="A14" s="19" t="inlineStr">
        <is>
          <t>Revenue Growth (%)</t>
        </is>
      </c>
      <c r="B14" s="21" t="n">
        <v>7</v>
      </c>
    </row>
    <row r="15">
      <c r="A15" s="19" t="inlineStr">
        <is>
          <t>Y5 EBITDA Margin (%)</t>
        </is>
      </c>
      <c r="B15" s="21" t="n">
        <v>12.85</v>
      </c>
    </row>
    <row r="16">
      <c r="A16" s="19" t="inlineStr">
        <is>
          <t>Exit Multiple (x)</t>
        </is>
      </c>
      <c r="B16" s="22" t="n">
        <v>14</v>
      </c>
    </row>
    <row r="17">
      <c r="A17" s="19" t="inlineStr">
        <is>
          <t>Interest Rate on Debt (%)</t>
        </is>
      </c>
      <c r="B17" s="22" t="n">
        <v>7</v>
      </c>
    </row>
    <row r="18">
      <c r="A18" s="19" t="inlineStr">
        <is>
          <t>Capex (% of Revenue)</t>
        </is>
      </c>
      <c r="B18" s="22" t="n">
        <v>3</v>
      </c>
    </row>
    <row r="19">
      <c r="A19" s="19" t="inlineStr">
        <is>
          <t>Tax Rate (%)</t>
        </is>
      </c>
      <c r="B19" s="22" t="n">
        <v>25</v>
      </c>
    </row>
    <row r="20">
      <c r="A20" s="19" t="inlineStr">
        <is>
          <t>Hold Period (years)</t>
        </is>
      </c>
      <c r="B20" s="23" t="n">
        <v>5</v>
      </c>
    </row>
    <row r="22">
      <c r="A22" s="18" t="inlineStr">
        <is>
          <t>DERIVED INPUTS (formulas)</t>
        </is>
      </c>
    </row>
    <row r="23">
      <c r="A23" s="19" t="inlineStr">
        <is>
          <t>Purchase Price ($M)</t>
        </is>
      </c>
      <c r="B23" s="24">
        <f>B11*(1+B12/100)</f>
        <v/>
      </c>
    </row>
    <row r="24">
      <c r="A24" s="19" t="inlineStr">
        <is>
          <t>Debt at Close ($M)</t>
        </is>
      </c>
      <c r="B24" s="24">
        <f>B23*B13/100</f>
        <v/>
      </c>
    </row>
    <row r="25">
      <c r="A25" s="19" t="inlineStr">
        <is>
          <t>Sponsor Equity at Close ($M)</t>
        </is>
      </c>
      <c r="B25" s="24">
        <f>B23-B24</f>
        <v/>
      </c>
    </row>
    <row r="27">
      <c r="A27" s="18" t="inlineStr">
        <is>
          <t>5-YEAR PROJECTIONS  -  ALL FORMULAS</t>
        </is>
      </c>
    </row>
    <row r="28">
      <c r="A28" s="25" t="inlineStr">
        <is>
          <t>Metric ($M)</t>
        </is>
      </c>
      <c r="B28" s="3" t="inlineStr">
        <is>
          <t>Year 1</t>
        </is>
      </c>
      <c r="C28" s="3" t="inlineStr">
        <is>
          <t>Year 2</t>
        </is>
      </c>
      <c r="D28" s="3" t="inlineStr">
        <is>
          <t>Year 3</t>
        </is>
      </c>
      <c r="E28" s="3" t="inlineStr">
        <is>
          <t>Year 4</t>
        </is>
      </c>
      <c r="F28" s="3" t="inlineStr">
        <is>
          <t>Year 5</t>
        </is>
      </c>
    </row>
    <row r="29">
      <c r="A29" s="19" t="inlineStr">
        <is>
          <t>Revenue</t>
        </is>
      </c>
      <c r="B29" s="26">
        <f>$B$7*(1+$B$14/100)</f>
        <v/>
      </c>
      <c r="C29" s="26">
        <f>B29*(1+$B$14/100)</f>
        <v/>
      </c>
      <c r="D29" s="26">
        <f>C29*(1+$B$14/100)</f>
        <v/>
      </c>
      <c r="E29" s="26">
        <f>D29*(1+$B$14/100)</f>
        <v/>
      </c>
      <c r="F29" s="26">
        <f>E29*(1+$B$14/100)</f>
        <v/>
      </c>
    </row>
    <row r="30">
      <c r="A30" s="19" t="inlineStr">
        <is>
          <t>EBITDA Margin (%)</t>
        </is>
      </c>
      <c r="B30" s="27">
        <f>$B$8+($B$15-$B$8)*1/5</f>
        <v/>
      </c>
      <c r="C30" s="27">
        <f>$B$8+($B$15-$B$8)*2/5</f>
        <v/>
      </c>
      <c r="D30" s="27">
        <f>$B$8+($B$15-$B$8)*3/5</f>
        <v/>
      </c>
      <c r="E30" s="27">
        <f>$B$8+($B$15-$B$8)*4/5</f>
        <v/>
      </c>
      <c r="F30" s="27">
        <f>$B$8+($B$15-$B$8)*5/5</f>
        <v/>
      </c>
    </row>
    <row r="31">
      <c r="A31" s="19" t="inlineStr">
        <is>
          <t>EBITDA</t>
        </is>
      </c>
      <c r="B31" s="26">
        <f>B29*B30/100</f>
        <v/>
      </c>
      <c r="C31" s="26">
        <f>C29*C30/100</f>
        <v/>
      </c>
      <c r="D31" s="26">
        <f>D29*D30/100</f>
        <v/>
      </c>
      <c r="E31" s="26">
        <f>E29*E30/100</f>
        <v/>
      </c>
      <c r="F31" s="26">
        <f>F29*F30/100</f>
        <v/>
      </c>
    </row>
    <row r="32">
      <c r="A32" s="19" t="inlineStr">
        <is>
          <t>Interest Expense</t>
        </is>
      </c>
      <c r="B32" s="26">
        <f>$B$24*$B$17/100</f>
        <v/>
      </c>
      <c r="C32" s="26">
        <f>B36*$B$17/100</f>
        <v/>
      </c>
      <c r="D32" s="26">
        <f>C36*$B$17/100</f>
        <v/>
      </c>
      <c r="E32" s="26">
        <f>D36*$B$17/100</f>
        <v/>
      </c>
      <c r="F32" s="26">
        <f>E36*$B$17/100</f>
        <v/>
      </c>
    </row>
    <row r="33">
      <c r="A33" s="19" t="inlineStr">
        <is>
          <t>Capex</t>
        </is>
      </c>
      <c r="B33" s="26">
        <f>B29*$B$18/100</f>
        <v/>
      </c>
      <c r="C33" s="26">
        <f>C29*$B$18/100</f>
        <v/>
      </c>
      <c r="D33" s="26">
        <f>D29*$B$18/100</f>
        <v/>
      </c>
      <c r="E33" s="26">
        <f>E29*$B$18/100</f>
        <v/>
      </c>
      <c r="F33" s="26">
        <f>F29*$B$18/100</f>
        <v/>
      </c>
    </row>
    <row r="34">
      <c r="A34" s="19" t="inlineStr">
        <is>
          <t>Taxes</t>
        </is>
      </c>
      <c r="B34" s="26">
        <f>MAX(0,(B31-B32)*$B$19/100)</f>
        <v/>
      </c>
      <c r="C34" s="26">
        <f>MAX(0,(C31-C32)*$B$19/100)</f>
        <v/>
      </c>
      <c r="D34" s="26">
        <f>MAX(0,(D31-D32)*$B$19/100)</f>
        <v/>
      </c>
      <c r="E34" s="26">
        <f>MAX(0,(E31-E32)*$B$19/100)</f>
        <v/>
      </c>
      <c r="F34" s="26">
        <f>MAX(0,(F31-F32)*$B$19/100)</f>
        <v/>
      </c>
    </row>
    <row r="35">
      <c r="A35" s="19" t="inlineStr">
        <is>
          <t>Free Cash Flow</t>
        </is>
      </c>
      <c r="B35" s="26">
        <f>B31-B32-B33-B34</f>
        <v/>
      </c>
      <c r="C35" s="26">
        <f>C31-C32-C33-C34</f>
        <v/>
      </c>
      <c r="D35" s="26">
        <f>D31-D32-D33-D34</f>
        <v/>
      </c>
      <c r="E35" s="26">
        <f>E31-E32-E33-E34</f>
        <v/>
      </c>
      <c r="F35" s="26">
        <f>F31-F32-F33-F34</f>
        <v/>
      </c>
    </row>
    <row r="36">
      <c r="A36" s="19" t="inlineStr">
        <is>
          <t>Debt Balance (EoY)</t>
        </is>
      </c>
      <c r="B36" s="26">
        <f>MAX(0,$B$24-MAX(0,B35))</f>
        <v/>
      </c>
      <c r="C36" s="26">
        <f>MAX(0,B36-MAX(0,C35))</f>
        <v/>
      </c>
      <c r="D36" s="26">
        <f>MAX(0,C36-MAX(0,D35))</f>
        <v/>
      </c>
      <c r="E36" s="26">
        <f>MAX(0,D36-MAX(0,E35))</f>
        <v/>
      </c>
      <c r="F36" s="26">
        <f>MAX(0,E36-MAX(0,F35))</f>
        <v/>
      </c>
    </row>
    <row r="38">
      <c r="A38" s="18" t="inlineStr">
        <is>
          <t>EXIT &amp; RETURNS (formulas)</t>
        </is>
      </c>
    </row>
    <row r="39">
      <c r="A39" s="19" t="inlineStr">
        <is>
          <t>Exit EBITDA ($M)</t>
        </is>
      </c>
      <c r="B39" s="31">
        <f>F31</f>
        <v/>
      </c>
    </row>
    <row r="40">
      <c r="A40" s="19" t="inlineStr">
        <is>
          <t>Exit EV ($M)</t>
        </is>
      </c>
      <c r="B40" s="31">
        <f>B39*$B$16</f>
        <v/>
      </c>
    </row>
    <row r="41">
      <c r="A41" s="19" t="inlineStr">
        <is>
          <t>Net Debt at Exit ($M)</t>
        </is>
      </c>
      <c r="B41" s="31">
        <f>F36</f>
        <v/>
      </c>
    </row>
    <row r="42">
      <c r="A42" s="19" t="inlineStr">
        <is>
          <t>Exit Equity Value ($M)</t>
        </is>
      </c>
      <c r="B42" s="31">
        <f>MAX(0,B40-B41)</f>
        <v/>
      </c>
    </row>
    <row r="43">
      <c r="A43" s="19" t="inlineStr">
        <is>
          <t>MOIC</t>
        </is>
      </c>
      <c r="B43" s="32">
        <f>IFERROR(B42/$B$25,0)</f>
        <v/>
      </c>
    </row>
    <row r="44">
      <c r="A44" s="19" t="inlineStr">
        <is>
          <t>IRR (%)</t>
        </is>
      </c>
      <c r="B44" s="33">
        <f>IFERROR(((B42/$B$25)^(1/$B$20)-1)*100,0)</f>
        <v/>
      </c>
    </row>
    <row r="46">
      <c r="A46" s="2" t="inlineStr">
        <is>
          <t>Tip: Edit any BLUE input cell. Projections, debt paydown, and returns recalculate live.</t>
        </is>
      </c>
    </row>
  </sheetData>
  <mergeCells count="6">
    <mergeCell ref="A38:B38"/>
    <mergeCell ref="A46:F46"/>
    <mergeCell ref="A27:F27"/>
    <mergeCell ref="A1:H1"/>
    <mergeCell ref="A6:B6"/>
    <mergeCell ref="A22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BEAR CASE  -  LIVE LBO MODEL</t>
        </is>
      </c>
    </row>
    <row r="3">
      <c r="A3" s="16" t="inlineStr">
        <is>
          <t>BLUE = hardcoded input (editable)</t>
        </is>
      </c>
    </row>
    <row r="4">
      <c r="A4" s="17" t="inlineStr">
        <is>
          <t>BLACK = formula (derived from inputs)</t>
        </is>
      </c>
    </row>
    <row r="6">
      <c r="A6" s="18" t="inlineStr">
        <is>
          <t>INPUTS  -  EDIT BLUE CELLS TO FLEX ASSUMPTIONS</t>
        </is>
      </c>
    </row>
    <row r="7">
      <c r="A7" s="19" t="inlineStr">
        <is>
          <t>Starting Revenue ($M)</t>
        </is>
      </c>
      <c r="B7" s="20" t="n">
        <v>88425</v>
      </c>
    </row>
    <row r="8">
      <c r="A8" s="19" t="inlineStr">
        <is>
          <t>Starting EBITDA Margin (%)</t>
        </is>
      </c>
      <c r="B8" s="21" t="n">
        <v>9.9</v>
      </c>
    </row>
    <row r="9">
      <c r="A9" s="19" t="inlineStr">
        <is>
          <t>Cash &amp; Equivalents ($M)</t>
        </is>
      </c>
      <c r="B9" s="20" t="n">
        <v>3633</v>
      </c>
    </row>
    <row r="10">
      <c r="A10" s="19" t="inlineStr">
        <is>
          <t>Existing Debt ($M)</t>
        </is>
      </c>
      <c r="B10" s="20" t="n">
        <v>19363</v>
      </c>
    </row>
    <row r="11">
      <c r="A11" s="19" t="inlineStr">
        <is>
          <t>Market Cap ($M)</t>
        </is>
      </c>
      <c r="B11" s="20" t="n">
        <v>137482</v>
      </c>
    </row>
    <row r="12">
      <c r="A12" s="19" t="inlineStr">
        <is>
          <t>Purchase Premium (%)</t>
        </is>
      </c>
      <c r="B12" s="22" t="n">
        <v>37.4</v>
      </c>
    </row>
    <row r="13">
      <c r="A13" s="19" t="inlineStr">
        <is>
          <t>Leverage at Close (%)</t>
        </is>
      </c>
      <c r="B13" s="22" t="n">
        <v>55</v>
      </c>
    </row>
    <row r="14">
      <c r="A14" s="19" t="inlineStr">
        <is>
          <t>Revenue Growth (%)</t>
        </is>
      </c>
      <c r="B14" s="21" t="n">
        <v>1</v>
      </c>
    </row>
    <row r="15">
      <c r="A15" s="19" t="inlineStr">
        <is>
          <t>Y5 EBITDA Margin (%)</t>
        </is>
      </c>
      <c r="B15" s="21" t="n">
        <v>20</v>
      </c>
    </row>
    <row r="16">
      <c r="A16" s="19" t="inlineStr">
        <is>
          <t>Exit Multiple (x)</t>
        </is>
      </c>
      <c r="B16" s="22" t="n">
        <v>10</v>
      </c>
    </row>
    <row r="17">
      <c r="A17" s="19" t="inlineStr">
        <is>
          <t>Interest Rate on Debt (%)</t>
        </is>
      </c>
      <c r="B17" s="22" t="n">
        <v>7</v>
      </c>
    </row>
    <row r="18">
      <c r="A18" s="19" t="inlineStr">
        <is>
          <t>Capex (% of Revenue)</t>
        </is>
      </c>
      <c r="B18" s="22" t="n">
        <v>3</v>
      </c>
    </row>
    <row r="19">
      <c r="A19" s="19" t="inlineStr">
        <is>
          <t>Tax Rate (%)</t>
        </is>
      </c>
      <c r="B19" s="22" t="n">
        <v>25</v>
      </c>
    </row>
    <row r="20">
      <c r="A20" s="19" t="inlineStr">
        <is>
          <t>Hold Period (years)</t>
        </is>
      </c>
      <c r="B20" s="23" t="n">
        <v>5</v>
      </c>
    </row>
    <row r="22">
      <c r="A22" s="18" t="inlineStr">
        <is>
          <t>DERIVED INPUTS (formulas)</t>
        </is>
      </c>
    </row>
    <row r="23">
      <c r="A23" s="19" t="inlineStr">
        <is>
          <t>Purchase Price ($M)</t>
        </is>
      </c>
      <c r="B23" s="24">
        <f>B11*(1+B12/100)</f>
        <v/>
      </c>
    </row>
    <row r="24">
      <c r="A24" s="19" t="inlineStr">
        <is>
          <t>Debt at Close ($M)</t>
        </is>
      </c>
      <c r="B24" s="24">
        <f>B23*B13/100</f>
        <v/>
      </c>
    </row>
    <row r="25">
      <c r="A25" s="19" t="inlineStr">
        <is>
          <t>Sponsor Equity at Close ($M)</t>
        </is>
      </c>
      <c r="B25" s="24">
        <f>B23-B24</f>
        <v/>
      </c>
    </row>
    <row r="27">
      <c r="A27" s="18" t="inlineStr">
        <is>
          <t>5-YEAR PROJECTIONS  -  ALL FORMULAS</t>
        </is>
      </c>
    </row>
    <row r="28">
      <c r="A28" s="25" t="inlineStr">
        <is>
          <t>Metric ($M)</t>
        </is>
      </c>
      <c r="B28" s="3" t="inlineStr">
        <is>
          <t>Year 1</t>
        </is>
      </c>
      <c r="C28" s="3" t="inlineStr">
        <is>
          <t>Year 2</t>
        </is>
      </c>
      <c r="D28" s="3" t="inlineStr">
        <is>
          <t>Year 3</t>
        </is>
      </c>
      <c r="E28" s="3" t="inlineStr">
        <is>
          <t>Year 4</t>
        </is>
      </c>
      <c r="F28" s="3" t="inlineStr">
        <is>
          <t>Year 5</t>
        </is>
      </c>
    </row>
    <row r="29">
      <c r="A29" s="19" t="inlineStr">
        <is>
          <t>Revenue</t>
        </is>
      </c>
      <c r="B29" s="26">
        <f>$B$7*(1+$B$14/100)</f>
        <v/>
      </c>
      <c r="C29" s="26">
        <f>B29*(1+$B$14/100)</f>
        <v/>
      </c>
      <c r="D29" s="26">
        <f>C29*(1+$B$14/100)</f>
        <v/>
      </c>
      <c r="E29" s="26">
        <f>D29*(1+$B$14/100)</f>
        <v/>
      </c>
      <c r="F29" s="26">
        <f>E29*(1+$B$14/100)</f>
        <v/>
      </c>
    </row>
    <row r="30">
      <c r="A30" s="19" t="inlineStr">
        <is>
          <t>EBITDA Margin (%)</t>
        </is>
      </c>
      <c r="B30" s="27">
        <f>$B$8+($B$15-$B$8)*1/5</f>
        <v/>
      </c>
      <c r="C30" s="27">
        <f>$B$8+($B$15-$B$8)*2/5</f>
        <v/>
      </c>
      <c r="D30" s="27">
        <f>$B$8+($B$15-$B$8)*3/5</f>
        <v/>
      </c>
      <c r="E30" s="27">
        <f>$B$8+($B$15-$B$8)*4/5</f>
        <v/>
      </c>
      <c r="F30" s="27">
        <f>$B$8+($B$15-$B$8)*5/5</f>
        <v/>
      </c>
    </row>
    <row r="31">
      <c r="A31" s="19" t="inlineStr">
        <is>
          <t>EBITDA</t>
        </is>
      </c>
      <c r="B31" s="26">
        <f>B29*B30/100</f>
        <v/>
      </c>
      <c r="C31" s="26">
        <f>C29*C30/100</f>
        <v/>
      </c>
      <c r="D31" s="26">
        <f>D29*D30/100</f>
        <v/>
      </c>
      <c r="E31" s="26">
        <f>E29*E30/100</f>
        <v/>
      </c>
      <c r="F31" s="26">
        <f>F29*F30/100</f>
        <v/>
      </c>
    </row>
    <row r="32">
      <c r="A32" s="19" t="inlineStr">
        <is>
          <t>Interest Expense</t>
        </is>
      </c>
      <c r="B32" s="26">
        <f>$B$24*$B$17/100</f>
        <v/>
      </c>
      <c r="C32" s="26">
        <f>B36*$B$17/100</f>
        <v/>
      </c>
      <c r="D32" s="26">
        <f>C36*$B$17/100</f>
        <v/>
      </c>
      <c r="E32" s="26">
        <f>D36*$B$17/100</f>
        <v/>
      </c>
      <c r="F32" s="26">
        <f>E36*$B$17/100</f>
        <v/>
      </c>
    </row>
    <row r="33">
      <c r="A33" s="19" t="inlineStr">
        <is>
          <t>Capex</t>
        </is>
      </c>
      <c r="B33" s="26">
        <f>B29*$B$18/100</f>
        <v/>
      </c>
      <c r="C33" s="26">
        <f>C29*$B$18/100</f>
        <v/>
      </c>
      <c r="D33" s="26">
        <f>D29*$B$18/100</f>
        <v/>
      </c>
      <c r="E33" s="26">
        <f>E29*$B$18/100</f>
        <v/>
      </c>
      <c r="F33" s="26">
        <f>F29*$B$18/100</f>
        <v/>
      </c>
    </row>
    <row r="34">
      <c r="A34" s="19" t="inlineStr">
        <is>
          <t>Taxes</t>
        </is>
      </c>
      <c r="B34" s="26">
        <f>MAX(0,(B31-B32)*$B$19/100)</f>
        <v/>
      </c>
      <c r="C34" s="26">
        <f>MAX(0,(C31-C32)*$B$19/100)</f>
        <v/>
      </c>
      <c r="D34" s="26">
        <f>MAX(0,(D31-D32)*$B$19/100)</f>
        <v/>
      </c>
      <c r="E34" s="26">
        <f>MAX(0,(E31-E32)*$B$19/100)</f>
        <v/>
      </c>
      <c r="F34" s="26">
        <f>MAX(0,(F31-F32)*$B$19/100)</f>
        <v/>
      </c>
    </row>
    <row r="35">
      <c r="A35" s="19" t="inlineStr">
        <is>
          <t>Free Cash Flow</t>
        </is>
      </c>
      <c r="B35" s="26">
        <f>B31-B32-B33-B34</f>
        <v/>
      </c>
      <c r="C35" s="26">
        <f>C31-C32-C33-C34</f>
        <v/>
      </c>
      <c r="D35" s="26">
        <f>D31-D32-D33-D34</f>
        <v/>
      </c>
      <c r="E35" s="26">
        <f>E31-E32-E33-E34</f>
        <v/>
      </c>
      <c r="F35" s="26">
        <f>F31-F32-F33-F34</f>
        <v/>
      </c>
    </row>
    <row r="36">
      <c r="A36" s="19" t="inlineStr">
        <is>
          <t>Debt Balance (EoY)</t>
        </is>
      </c>
      <c r="B36" s="26">
        <f>MAX(0,$B$24-MAX(0,B35))</f>
        <v/>
      </c>
      <c r="C36" s="26">
        <f>MAX(0,B36-MAX(0,C35))</f>
        <v/>
      </c>
      <c r="D36" s="26">
        <f>MAX(0,C36-MAX(0,D35))</f>
        <v/>
      </c>
      <c r="E36" s="26">
        <f>MAX(0,D36-MAX(0,E35))</f>
        <v/>
      </c>
      <c r="F36" s="26">
        <f>MAX(0,E36-MAX(0,F35))</f>
        <v/>
      </c>
    </row>
    <row r="38">
      <c r="A38" s="18" t="inlineStr">
        <is>
          <t>EXIT &amp; RETURNS (formulas)</t>
        </is>
      </c>
    </row>
    <row r="39">
      <c r="A39" s="19" t="inlineStr">
        <is>
          <t>Exit EBITDA ($M)</t>
        </is>
      </c>
      <c r="B39" s="34">
        <f>F31</f>
        <v/>
      </c>
    </row>
    <row r="40">
      <c r="A40" s="19" t="inlineStr">
        <is>
          <t>Exit EV ($M)</t>
        </is>
      </c>
      <c r="B40" s="34">
        <f>B39*$B$16</f>
        <v/>
      </c>
    </row>
    <row r="41">
      <c r="A41" s="19" t="inlineStr">
        <is>
          <t>Net Debt at Exit ($M)</t>
        </is>
      </c>
      <c r="B41" s="34">
        <f>F36</f>
        <v/>
      </c>
    </row>
    <row r="42">
      <c r="A42" s="19" t="inlineStr">
        <is>
          <t>Exit Equity Value ($M)</t>
        </is>
      </c>
      <c r="B42" s="34">
        <f>MAX(0,B40-B41)</f>
        <v/>
      </c>
    </row>
    <row r="43">
      <c r="A43" s="19" t="inlineStr">
        <is>
          <t>MOIC</t>
        </is>
      </c>
      <c r="B43" s="35">
        <f>IFERROR(B42/$B$25,0)</f>
        <v/>
      </c>
    </row>
    <row r="44">
      <c r="A44" s="19" t="inlineStr">
        <is>
          <t>IRR (%)</t>
        </is>
      </c>
      <c r="B44" s="36">
        <f>IFERROR(((B42/$B$25)^(1/$B$20)-1)*100,0)</f>
        <v/>
      </c>
    </row>
    <row r="46">
      <c r="A46" s="2" t="inlineStr">
        <is>
          <t>Tip: Edit any BLUE input cell. Projections, debt paydown, and returns recalculate live.</t>
        </is>
      </c>
    </row>
  </sheetData>
  <mergeCells count="6">
    <mergeCell ref="A38:B38"/>
    <mergeCell ref="A46:F46"/>
    <mergeCell ref="A27:F27"/>
    <mergeCell ref="A1:H1"/>
    <mergeCell ref="A6:B6"/>
    <mergeCell ref="A22:B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7" t="inlineStr">
        <is>
          <t>SENSITIVITY: BASE-CASE IRR (% by Exit Multiple x Revenue Growth)</t>
        </is>
      </c>
    </row>
    <row r="3">
      <c r="A3" s="38" t="inlineStr"/>
      <c r="B3" s="3" t="inlineStr">
        <is>
          <t>10.0x</t>
        </is>
      </c>
      <c r="C3" s="3" t="inlineStr">
        <is>
          <t>11.0x</t>
        </is>
      </c>
      <c r="D3" s="3" t="inlineStr">
        <is>
          <t>12.0x</t>
        </is>
      </c>
      <c r="E3" s="3" t="inlineStr">
        <is>
          <t>13.0x</t>
        </is>
      </c>
      <c r="F3" s="3" t="inlineStr">
        <is>
          <t>14.0x</t>
        </is>
      </c>
    </row>
    <row r="4">
      <c r="A4" s="25" t="inlineStr">
        <is>
          <t>Growth 1.0%</t>
        </is>
      </c>
      <c r="B4" s="39" t="n">
        <v>-22.2</v>
      </c>
      <c r="C4" s="39" t="n">
        <v>-17.1</v>
      </c>
      <c r="D4" s="39" t="n">
        <v>-13</v>
      </c>
      <c r="E4" s="39" t="n">
        <v>-9.6</v>
      </c>
      <c r="F4" s="39" t="n">
        <v>-6.6</v>
      </c>
    </row>
    <row r="5">
      <c r="A5" s="25" t="inlineStr">
        <is>
          <t>Growth 3.0%</t>
        </is>
      </c>
      <c r="B5" s="39" t="n">
        <v>-16.3</v>
      </c>
      <c r="C5" s="39" t="n">
        <v>-12</v>
      </c>
      <c r="D5" s="39" t="n">
        <v>-8.4</v>
      </c>
      <c r="E5" s="39" t="n">
        <v>-5.3</v>
      </c>
      <c r="F5" s="39" t="n">
        <v>-2.5</v>
      </c>
    </row>
    <row r="6">
      <c r="A6" s="25" t="inlineStr">
        <is>
          <t>Growth 4.0%</t>
        </is>
      </c>
      <c r="B6" s="39" t="n">
        <v>-13.8</v>
      </c>
      <c r="C6" s="39" t="n">
        <v>-9.699999999999999</v>
      </c>
      <c r="D6" s="39" t="n">
        <v>-6.3</v>
      </c>
      <c r="E6" s="39" t="n">
        <v>-3.3</v>
      </c>
      <c r="F6" s="39" t="n">
        <v>-0.6</v>
      </c>
    </row>
    <row r="7">
      <c r="A7" s="25" t="inlineStr">
        <is>
          <t>Growth 5.0%</t>
        </is>
      </c>
      <c r="B7" s="39" t="n">
        <v>-11.4</v>
      </c>
      <c r="C7" s="39" t="n">
        <v>-7.6</v>
      </c>
      <c r="D7" s="39" t="n">
        <v>-4.3</v>
      </c>
      <c r="E7" s="39" t="n">
        <v>-1.4</v>
      </c>
      <c r="F7" s="39" t="n">
        <v>1.2</v>
      </c>
    </row>
    <row r="8">
      <c r="A8" s="25" t="inlineStr">
        <is>
          <t>Growth 7.0%</t>
        </is>
      </c>
      <c r="B8" s="39" t="n">
        <v>-7.2</v>
      </c>
      <c r="C8" s="39" t="n">
        <v>-3.6</v>
      </c>
      <c r="D8" s="39" t="n">
        <v>-0.5</v>
      </c>
      <c r="E8" s="39" t="n">
        <v>2.2</v>
      </c>
      <c r="F8" s="39" t="n">
        <v>4.7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40" t="inlineStr">
        <is>
          <t>Inputs from Diligence Pipeline</t>
        </is>
      </c>
    </row>
    <row r="3">
      <c r="A3" s="40" t="inlineStr">
        <is>
          <t>Ticker</t>
        </is>
      </c>
      <c r="B3" t="inlineStr">
        <is>
          <t>DELL</t>
        </is>
      </c>
    </row>
    <row r="4">
      <c r="A4" s="40" t="inlineStr">
        <is>
          <t>Company</t>
        </is>
      </c>
      <c r="B4" t="inlineStr">
        <is>
          <t>Dell Technologies Inc.</t>
        </is>
      </c>
    </row>
    <row r="5">
      <c r="A5" s="40" t="inlineStr">
        <is>
          <t>Revenue ($M)</t>
        </is>
      </c>
      <c r="B5" t="n">
        <v>88425</v>
      </c>
    </row>
    <row r="6">
      <c r="A6" s="40" t="inlineStr">
        <is>
          <t>EBITDA ($M)</t>
        </is>
      </c>
      <c r="B6" t="n">
        <v>8714</v>
      </c>
    </row>
    <row r="7">
      <c r="A7" s="40" t="inlineStr">
        <is>
          <t>EBITDA Margin (%)</t>
        </is>
      </c>
      <c r="B7" t="n">
        <v>9.9</v>
      </c>
    </row>
    <row r="8">
      <c r="A8" s="40" t="inlineStr">
        <is>
          <t>Free Cash Flow ($M)</t>
        </is>
      </c>
      <c r="B8" t="n">
        <v>5920</v>
      </c>
    </row>
    <row r="9">
      <c r="A9" s="40" t="inlineStr">
        <is>
          <t>Total Debt ($M)</t>
        </is>
      </c>
      <c r="B9" t="n">
        <v>19363</v>
      </c>
    </row>
    <row r="10">
      <c r="A10" s="40" t="inlineStr">
        <is>
          <t>Cash ($M)</t>
        </is>
      </c>
      <c r="B10" t="n">
        <v>3633</v>
      </c>
    </row>
    <row r="11">
      <c r="A11" s="40" t="inlineStr">
        <is>
          <t>Market Cap ($M)</t>
        </is>
      </c>
      <c r="B11" t="n">
        <v>137482</v>
      </c>
    </row>
    <row r="12">
      <c r="A12" s="40" t="inlineStr">
        <is>
          <t>Current Price</t>
        </is>
      </c>
      <c r="B12" t="n">
        <v>211.45</v>
      </c>
    </row>
    <row r="13">
      <c r="A13" s="40" t="inlineStr">
        <is>
          <t>P/E</t>
        </is>
      </c>
      <c r="B13" t="n">
        <v>24.360598</v>
      </c>
    </row>
    <row r="14">
      <c r="A14" s="40" t="inlineStr">
        <is>
          <t>EV/EBITDA</t>
        </is>
      </c>
      <c r="B14" t="n">
        <v>13.655</v>
      </c>
    </row>
    <row r="15">
      <c r="A15" s="40" t="inlineStr">
        <is>
          <t>Beta</t>
        </is>
      </c>
      <c r="B15" t="n">
        <v>1.062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2026-05-04T19:26:37Z</dcterms:created>
  <dcterms:modified xmlns:dcterms="http://purl.org/dc/terms/" xmlns:xsi="http://www.w3.org/2001/XMLSchema-instance" xsi:type="dcterms:W3CDTF">2026-05-04T19:26:37Z</dcterms:modified>
</cp:coreProperties>
</file>